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mc:AlternateContent xmlns:mc="http://schemas.openxmlformats.org/markup-compatibility/2006">
    <mc:Choice Requires="x15">
      <x15ac:absPath xmlns:x15ac="http://schemas.microsoft.com/office/spreadsheetml/2010/11/ac" url="https://mines0-my.sharepoint.com/personal/promig3_mines_edu/Documents/Documents/Classes/CSCI 370/Summer 2026/Risks Talk/"/>
    </mc:Choice>
  </mc:AlternateContent>
  <xr:revisionPtr revIDLastSave="270" documentId="8_{19317358-765C-9E48-8DFD-F68C1A1E47EC}" xr6:coauthVersionLast="47" xr6:coauthVersionMax="47" xr10:uidLastSave="{909473C6-71EB-9A42-9312-FFA64847A6BD}"/>
  <bookViews>
    <workbookView xWindow="1100" yWindow="900" windowWidth="28040" windowHeight="17180" xr2:uid="{41B1F603-45E8-AE4F-B370-DF26C5D92415}"/>
  </bookViews>
  <sheets>
    <sheet name="Risk Register" sheetId="3" r:id="rId1"/>
    <sheet name="Assets" sheetId="2" r:id="rId2"/>
    <sheet name="Tables" sheetId="1"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7" i="3" l="1" a="1"/>
  <c r="F7" i="3" s="1"/>
  <c r="C3" i="3"/>
  <c r="F8" i="3" a="1"/>
  <c r="F8" i="3" s="1"/>
  <c r="F9" i="3" a="1"/>
  <c r="F9" i="3" s="1"/>
  <c r="F10" i="3" a="1"/>
  <c r="F10" i="3" s="1"/>
  <c r="F11" i="3" a="1"/>
  <c r="F11" i="3" s="1"/>
  <c r="F12" i="3" a="1"/>
  <c r="F12" i="3" s="1"/>
  <c r="F13" i="3" a="1"/>
  <c r="F13" i="3" s="1"/>
  <c r="F14" i="3" a="1"/>
  <c r="F14" i="3" s="1"/>
  <c r="F15" i="3" a="1"/>
  <c r="F15" i="3" s="1"/>
  <c r="F16" i="3" a="1"/>
  <c r="F16" i="3" s="1"/>
  <c r="F17" i="3" a="1"/>
  <c r="F17" i="3" s="1"/>
  <c r="F18" i="3" a="1"/>
  <c r="F18" i="3" s="1"/>
  <c r="F19" i="3" a="1"/>
  <c r="F19" i="3" s="1"/>
  <c r="F20" i="3" a="1"/>
  <c r="F20" i="3" s="1"/>
  <c r="F21" i="3" a="1"/>
  <c r="F21" i="3" s="1"/>
  <c r="F22" i="3" a="1"/>
  <c r="F22" i="3" s="1"/>
  <c r="F23" i="3" a="1"/>
  <c r="F23" i="3" s="1"/>
  <c r="F24" i="3" a="1"/>
  <c r="F24" i="3" s="1"/>
  <c r="F25" i="3" a="1"/>
  <c r="F25" i="3" s="1"/>
  <c r="F26" i="3" a="1"/>
  <c r="F26" i="3" s="1"/>
  <c r="F27" i="3" a="1"/>
  <c r="F27" i="3" s="1"/>
  <c r="F28" i="3" a="1"/>
  <c r="F28" i="3" s="1"/>
  <c r="F29" i="3" a="1"/>
  <c r="F29"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<sst xmlns="http://schemas.openxmlformats.org/spreadsheetml/2006/main" count="51" uniqueCount="43">
  <si>
    <t>Team or Project Name:</t>
  </si>
  <si>
    <t>Risk Appetite:</t>
  </si>
  <si>
    <t>Highly Risk Averse</t>
  </si>
  <si>
    <t>Asset (numbers)</t>
  </si>
  <si>
    <t>Vulnerability</t>
  </si>
  <si>
    <t>Threat</t>
  </si>
  <si>
    <t>Likelyhood</t>
  </si>
  <si>
    <t>Impact</t>
  </si>
  <si>
    <t>Risk</t>
  </si>
  <si>
    <t>Treatment</t>
  </si>
  <si>
    <t>Control</t>
  </si>
  <si>
    <t>Mitigated Risk</t>
  </si>
  <si>
    <t>Highly Likely</t>
  </si>
  <si>
    <t>Serious</t>
  </si>
  <si>
    <t>Enter the list of assets you will take with you, and for your own reference a rough estimate of their value.  You should list at least 10 assets, including the four team members. Do not include any camping equipment, clothes, food etc. (those will be considered compensating controls).</t>
  </si>
  <si>
    <t>Asset Name</t>
  </si>
  <si>
    <t>Value</t>
  </si>
  <si>
    <t>Name</t>
  </si>
  <si>
    <t>Maximum acceptable Ristk</t>
  </si>
  <si>
    <t>Desctipion</t>
  </si>
  <si>
    <t>\</t>
  </si>
  <si>
    <t>Interested in a nice, quiet safe trip with no surprises (accepts only Low Risks)</t>
  </si>
  <si>
    <t>Risk averse</t>
  </si>
  <si>
    <t>Not willing to risk serious consequences to our assets but a few safe thrills are fine.</t>
  </si>
  <si>
    <t>Risk taker</t>
  </si>
  <si>
    <t>We are looking to have fun, not worry about what might happen.  We will not be intentionally taking risks, but we are not going to avoid them completely.</t>
  </si>
  <si>
    <t>Daredevil</t>
  </si>
  <si>
    <t>What fun is a trip of you don't take risks.  We will be jumping off cliffs, baiting grizzly bears and hanging out in the swamp after dark.</t>
  </si>
  <si>
    <t>Event Likeliood</t>
  </si>
  <si>
    <t>Unlikely</t>
  </si>
  <si>
    <t>Low</t>
  </si>
  <si>
    <t>Medium</t>
  </si>
  <si>
    <t>Likely</t>
  </si>
  <si>
    <t>Consequences</t>
  </si>
  <si>
    <t>Minor</t>
  </si>
  <si>
    <t>Catastrophic</t>
  </si>
  <si>
    <t>Doomsday</t>
  </si>
  <si>
    <t>Treatments</t>
  </si>
  <si>
    <t>Acceptance</t>
  </si>
  <si>
    <t>Avoidance</t>
  </si>
  <si>
    <t>Transfer</t>
  </si>
  <si>
    <t>Reduce Impact</t>
  </si>
  <si>
    <t>Reduce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</si>
</sst>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Aptos Narrow"/>
      <family val="2"/>
      <scheme val="minor"/>
    </font>
    <font>
      <sz val="12"/>
      <color theme="0"/>
      <name val="Aptos Narrow"/>
      <family val="2"/>
      <scheme val="minor"/>
    </font>
    <font>
      <sz val="14"/>
      <color theme="5"/>
      <name val="Aptos Narrow"/>
      <family val="2"/>
      <scheme val="minor"/>
    </font>
    <font>
      <sz val="18"/>
      <color theme="1"/>
      <name val="Aptos Narrow"/>
      <family val="2"/>
      <scheme val="minor"/>
    </font>
  </fonts>
  <fills count="6">
    <fill>
      <patternFill patternType="none"/>
    </fill>
    <fill>
      <patternFill patternType="gray125"/>
    </fill>
    <fill>
      <patternFill patternType="solid">
        <fgColor theme="5"/>
        <bgColor indexed="64"/>
      </patternFill>
    </fill>
    <fill>
      <patternFill patternType="solid">
        <fgColor rgb="FF1A6B24"/>
        <bgColor indexed="64"/>
      </patternFill>
    </fill>
    <fill>
      <patternFill patternType="solid">
        <fgColor theme="3" tint="0.749992370372631"/>
        <bgColor indexed="64"/>
      </patternFill>
    </fill>
    <fill>
      <patternFill patternType="solid">
        <fgColor theme="6" tint="0.59999389629810485"/>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center"/>
    </xf>
    <xf numFmtId="0" fontId="0" fillId="0" borderId="0" xfId="0" applyAlignment="1">
      <alignment wrapText="1"/>
    </xf>
    <xf numFmtId="0" fontId="3" fillId="0" borderId="0" xfId="0" applyFont="1"/>
    <xf numFmtId="0" fontId="3" fillId="4" borderId="0" xfId="0" applyFont="1" applyFill="1"/>
    <xf numFmtId="0" fontId="3" fillId="5" borderId="0" xfId="0" applyFont="1" applyFill="1"/>
    <xf numFmtId="0" fontId="2" fillId="0" borderId="0" xfId="0" applyFont="1" applyAlignment="1">
      <alignment horizontal="center" vertical="center" wrapText="1"/>
    </xf>
    <xf numFmtId="0" fontId="1" fillId="2" borderId="0" xfId="0" applyFont="1" applyFill="1" applyAlignment="1">
      <alignment horizontal="center"/>
    </xf>
    <xf numFmtId="0" fontId="1" fillId="3" borderId="0" xfId="0" applyFont="1" applyFill="1" applyAlignment="1">
      <alignment horizontal="center"/>
    </xf>
  </cellXfs>
  <cellStyles count="1">
    <cellStyle name="Normal" xfId="0" builtinId="0"/>
  </cellStyles>
  <dxfs count="8">
    <dxf>
      <alignment horizontal="center"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dxf>
    <dxf>
      <font>
        <color rgb="FF9C5700"/>
      </font>
      <fill>
        <patternFill>
          <bgColor rgb="FFFFEB9C"/>
        </patternFill>
      </fill>
    </dxf>
  </dxfs>
  <tableStyles count="0" defaultTableStyle="TableStyleMedium2" defaultPivotStyle="PivotStyleLight16"/>
  <colors>
    <mruColors>
      <color rgb="FF1A6B2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29C2BB7-A83F-2849-897D-3B71ADE36400}" name="Table13" displayName="Table13" ref="A6:I29" totalsRowShown="0">
  <autoFilter ref="A6:I29" xr:uid="{F29C2BB7-A83F-2849-897D-3B71ADE36400}"/>
  <tableColumns count="9">
    <tableColumn id="1" xr3:uid="{4FE0DDD8-5604-BB4C-BDEF-6A735F8804F0}" name="Asset (numbers)"/>
    <tableColumn id="2" xr3:uid="{09B2C6D3-783C-3449-A6D6-38D262319BD2}" name="Vulnerability"/>
    <tableColumn id="3" xr3:uid="{9D34E781-86EC-5346-99C0-817D3FD1AD9D}" name="Threat"/>
    <tableColumn id="4" xr3:uid="{C4C8DA92-0B09-E148-9281-AB212DCBCC7D}" name="Likelyhood"/>
    <tableColumn id="5" xr3:uid="{DDAFAC83-51A8-F84A-9915-97D99A76BB82}" name="Impact"/>
    <tableColumn id="6" xr3:uid="{1261FDF5-08ED-3F46-B06D-2BF596976D67}" name="Risk" dataDxfId="6">
      <calculatedColumnFormula array="1">(_xlfn.XLOOKUP(Table13[[#This Row],[Likelyhood]],Table4[[#All],[Name]],Table4[[#All],[Value]],0) * _xlfn.XLOOKUP(Table13[[#This Row],[Impact]],Table10[[#All],[Name]],Table10[[#All],[Value]],0))</calculatedColumnFormula>
    </tableColumn>
    <tableColumn id="7" xr3:uid="{BCB30400-3425-B047-9D36-3CB42DB22A4B}" name="Treatment"/>
    <tableColumn id="8" xr3:uid="{A619FC03-97E9-1341-AF88-59D12EA380D9}" name="Control"/>
    <tableColumn id="9" xr3:uid="{E2F1D165-A2EF-0946-B283-295E589BDC81}" name="Mitigated Risk"/>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76CEEB-7E0E-084D-BD89-C55B837E0E4B}" name="Table2" displayName="Table2" ref="A2:B31" totalsRowShown="0">
  <autoFilter ref="A2:B31" xr:uid="{9076CEEB-7E0E-084D-BD89-C55B837E0E4B}"/>
  <tableColumns count="2">
    <tableColumn id="1" xr3:uid="{CBD8A777-8722-A841-B59A-64FB14071129}" name="Asset Name"/>
    <tableColumn id="2" xr3:uid="{7654F9C3-6142-DA45-BBD7-63582D7872A1}" name="Value"/>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B631BBE-E631-1642-B6F4-0DC5A40477BD}" name="Table3" displayName="Table3" ref="D2:F6" totalsRowShown="0" headerRowDxfId="5" dataDxfId="4">
  <autoFilter ref="D2:F6" xr:uid="{6B631BBE-E631-1642-B6F4-0DC5A40477BD}"/>
  <tableColumns count="3">
    <tableColumn id="1" xr3:uid="{B02647A5-41C6-6C49-8BCC-2CDC552383D5}" name="Name" dataDxfId="3"/>
    <tableColumn id="2" xr3:uid="{7D930429-EFDE-4D41-9323-C66B01AE3AEE}" name="Maximum acceptable Ristk" dataDxfId="2"/>
    <tableColumn id="3" xr3:uid="{496AADA7-C133-3041-8A5E-0544FAEFB501}" name="Desctipion" dataDxfId="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25C328C-0715-4C4F-B5B3-664861EA7801}" name="Table4" displayName="Table4" ref="D9:E14" totalsRowShown="0">
  <autoFilter ref="D9:E14" xr:uid="{A25C328C-0715-4C4F-B5B3-664861EA7801}"/>
  <tableColumns count="2">
    <tableColumn id="1" xr3:uid="{C6EA99AC-CABB-264C-9256-6AE8690DDBF8}" name="Name"/>
    <tableColumn id="2" xr3:uid="{A1AA72FD-AD96-9E4B-A658-541B8ECB1ADE}" name="Value"/>
  </tableColumns>
  <tableStyleInfo name="TableStyleLight1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1B2DE1F-2DB6-1E49-954C-9B5C38A4DD25}" name="Table10" displayName="Table10" ref="D18:E23" totalsRowShown="0" headerRowDxfId="0">
  <autoFilter ref="D18:E23" xr:uid="{31B2DE1F-2DB6-1E49-954C-9B5C38A4DD25}"/>
  <tableColumns count="2">
    <tableColumn id="1" xr3:uid="{45CFC2FD-80E1-3A4A-BA83-C2A13C8BDF32}" name="Name"/>
    <tableColumn id="2" xr3:uid="{B8A1C27A-E408-A84A-93D2-B70A7B1BF2F1}" name="Value"/>
  </tableColumns>
  <tableStyleInfo name="TableStyleMedium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98B1EDF-4D47-984A-A32A-0027B1044EB0}" name="Table11" displayName="Table11" ref="D26:D31" totalsRowShown="0">
  <autoFilter ref="D26:D31" xr:uid="{E98B1EDF-4D47-984A-A32A-0027B1044EB0}"/>
  <tableColumns count="1">
    <tableColumn id="1" xr3:uid="{C64435B0-12F7-AC42-820A-46144A456B1E}" name="Treatments"/>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 Id="rId4"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2FBCD-48CB-5249-8A8C-1300BA288D76}">
  <dimension ref="A2:I29"/>
  <sheetViews>
    <sheetView tabSelected="1" workbookViewId="0">
      <selection activeCell="F7" sqref="F7"/>
    </sheetView>
  </sheetViews>
  <sheetFormatPr defaultColWidth="11" defaultRowHeight="15.95"/>
  <cols>
    <col min="1" max="1" width="28.625" customWidth="1"/>
    <col min="2" max="2" width="51.375" customWidth="1"/>
    <col min="3" max="3" width="68.5" customWidth="1"/>
    <col min="4" max="4" width="12" customWidth="1"/>
    <col min="7" max="7" width="41.5" customWidth="1"/>
    <col min="8" max="8" width="57.625" customWidth="1"/>
    <col min="9" max="9" width="14.875" customWidth="1"/>
  </cols>
  <sheetData>
    <row r="2" spans="1:9" s="3" customFormat="1" ht="24">
      <c r="A2" s="4" t="s">
        <v>0</v>
      </c>
      <c r="B2" s="4"/>
    </row>
    <row r="3" spans="1:9" s="3" customFormat="1" ht="24">
      <c r="A3" s="5" t="s">
        <v>1</v>
      </c>
      <c r="B3" s="5" t="s">
        <v>2</v>
      </c>
      <c r="C3" s="3">
        <f>_xlfn.XLOOKUP($B$3,Table3[Name],Table3[Maximum acceptable Ristk],0)</f>
        <v>10</v>
      </c>
    </row>
    <row r="6" spans="1:9">
      <c r="A6" t="s">
        <v>3</v>
      </c>
      <c r="B6" t="s">
        <v>4</v>
      </c>
      <c r="C6" t="s">
        <v>5</v>
      </c>
      <c r="D6" t="s">
        <v>6</v>
      </c>
      <c r="E6" t="s">
        <v>7</v>
      </c>
      <c r="F6" t="s">
        <v>8</v>
      </c>
      <c r="G6" t="s">
        <v>9</v>
      </c>
      <c r="H6" t="s">
        <v>10</v>
      </c>
      <c r="I6" t="s">
        <v>11</v>
      </c>
    </row>
    <row r="7" spans="1:9">
      <c r="D7" t="s">
        <v>12</v>
      </c>
      <c r="E7" t="s">
        <v>13</v>
      </c>
      <c r="F7" cm="1">
        <f t="array" ref="F7">(_xlfn.XLOOKUP(Table13[[#This Row],[Likelyhood]],Table4[[#All],[Name]],Table4[[#All],[Value]],0) * _xlfn.XLOOKUP(Table13[[#This Row],[Impact]],Table10[[#All],[Name]],Table10[[#All],[Value]],0))</f>
        <v>15</v>
      </c>
    </row>
    <row r="8" spans="1:9">
      <c r="F8" cm="1">
        <f t="array" ref="F8">(_xlfn.XLOOKUP(Table13[[#This Row],[Likelyhood]],Table4[[#All],[Name]],Table4[[#All],[Value]],0) * _xlfn.XLOOKUP(Table13[[#This Row],[Impact]],Table10[[#All],[Name]],Table10[[#All],[Value]],0))</f>
        <v>0</v>
      </c>
    </row>
    <row r="9" spans="1:9">
      <c r="F9" cm="1">
        <f t="array" ref="F9">(_xlfn.XLOOKUP(Table13[[#This Row],[Likelyhood]],Table4[[#All],[Name]],Table4[[#All],[Value]],0) * _xlfn.XLOOKUP(Table13[[#This Row],[Impact]],Table10[[#All],[Name]],Table10[[#All],[Value]],0))</f>
        <v>0</v>
      </c>
    </row>
    <row r="10" spans="1:9">
      <c r="F10" cm="1">
        <f t="array" ref="F10">(_xlfn.XLOOKUP(Table13[[#This Row],[Likelyhood]],Table4[[#All],[Name]],Table4[[#All],[Value]],0) * _xlfn.XLOOKUP(Table13[[#This Row],[Impact]],Table10[[#All],[Name]],Table10[[#All],[Value]],0))</f>
        <v>0</v>
      </c>
    </row>
    <row r="11" spans="1:9">
      <c r="F11" cm="1">
        <f t="array" ref="F11">(_xlfn.XLOOKUP(Table13[[#This Row],[Likelyhood]],Table4[[#All],[Name]],Table4[[#All],[Value]],0) * _xlfn.XLOOKUP(Table13[[#This Row],[Impact]],Table10[[#All],[Name]],Table10[[#All],[Value]],0))</f>
        <v>0</v>
      </c>
    </row>
    <row r="12" spans="1:9">
      <c r="F12" cm="1">
        <f t="array" ref="F12">(_xlfn.XLOOKUP(Table13[[#This Row],[Likelyhood]],Table4[[#All],[Name]],Table4[[#All],[Value]],0) * _xlfn.XLOOKUP(Table13[[#This Row],[Impact]],Table10[[#All],[Name]],Table10[[#All],[Value]],0))</f>
        <v>0</v>
      </c>
    </row>
    <row r="13" spans="1:9">
      <c r="F13" cm="1">
        <f t="array" ref="F13">(_xlfn.XLOOKUP(Table13[[#This Row],[Likelyhood]],Table4[[#All],[Name]],Table4[[#All],[Value]],0) * _xlfn.XLOOKUP(Table13[[#This Row],[Impact]],Table10[[#All],[Name]],Table10[[#All],[Value]],0))</f>
        <v>0</v>
      </c>
    </row>
    <row r="14" spans="1:9">
      <c r="F14" cm="1">
        <f t="array" ref="F14">(_xlfn.XLOOKUP(Table13[[#This Row],[Likelyhood]],Table4[[#All],[Name]],Table4[[#All],[Value]],0) * _xlfn.XLOOKUP(Table13[[#This Row],[Impact]],Table10[[#All],[Name]],Table10[[#All],[Value]],0))</f>
        <v>0</v>
      </c>
    </row>
    <row r="15" spans="1:9">
      <c r="F15" cm="1">
        <f t="array" ref="F15">(_xlfn.XLOOKUP(Table13[[#This Row],[Likelyhood]],Table4[[#All],[Name]],Table4[[#All],[Value]],0) * _xlfn.XLOOKUP(Table13[[#This Row],[Impact]],Table10[[#All],[Name]],Table10[[#All],[Value]],0))</f>
        <v>0</v>
      </c>
    </row>
    <row r="16" spans="1:9">
      <c r="F16" cm="1">
        <f t="array" ref="F16">(_xlfn.XLOOKUP(Table13[[#This Row],[Likelyhood]],Table4[[#All],[Name]],Table4[[#All],[Value]],0) * _xlfn.XLOOKUP(Table13[[#This Row],[Impact]],Table10[[#All],[Name]],Table10[[#All],[Value]],0))</f>
        <v>0</v>
      </c>
    </row>
    <row r="17" spans="6:6">
      <c r="F17" cm="1">
        <f t="array" ref="F17">(_xlfn.XLOOKUP(Table13[[#This Row],[Likelyhood]],Table4[[#All],[Name]],Table4[[#All],[Value]],0) * _xlfn.XLOOKUP(Table13[[#This Row],[Impact]],Table10[[#All],[Name]],Table10[[#All],[Value]],0))</f>
        <v>0</v>
      </c>
    </row>
    <row r="18" spans="6:6">
      <c r="F18" cm="1">
        <f t="array" ref="F18">(_xlfn.XLOOKUP(Table13[[#This Row],[Likelyhood]],Table4[[#All],[Name]],Table4[[#All],[Value]],0) * _xlfn.XLOOKUP(Table13[[#This Row],[Impact]],Table10[[#All],[Name]],Table10[[#All],[Value]],0))</f>
        <v>0</v>
      </c>
    </row>
    <row r="19" spans="6:6">
      <c r="F19" cm="1">
        <f t="array" ref="F19">(_xlfn.XLOOKUP(Table13[[#This Row],[Likelyhood]],Table4[[#All],[Name]],Table4[[#All],[Value]],0) * _xlfn.XLOOKUP(Table13[[#This Row],[Impact]],Table10[[#All],[Name]],Table10[[#All],[Value]],0))</f>
        <v>0</v>
      </c>
    </row>
    <row r="20" spans="6:6">
      <c r="F20" cm="1">
        <f t="array" ref="F20">(_xlfn.XLOOKUP(Table13[[#This Row],[Likelyhood]],Table4[[#All],[Name]],Table4[[#All],[Value]],0) * _xlfn.XLOOKUP(Table13[[#This Row],[Impact]],Table10[[#All],[Name]],Table10[[#All],[Value]],0))</f>
        <v>0</v>
      </c>
    </row>
    <row r="21" spans="6:6">
      <c r="F21" cm="1">
        <f t="array" ref="F21">(_xlfn.XLOOKUP(Table13[[#This Row],[Likelyhood]],Table4[[#All],[Name]],Table4[[#All],[Value]],0) * _xlfn.XLOOKUP(Table13[[#This Row],[Impact]],Table10[[#All],[Name]],Table10[[#All],[Value]],0))</f>
        <v>0</v>
      </c>
    </row>
    <row r="22" spans="6:6">
      <c r="F22" cm="1">
        <f t="array" ref="F22">(_xlfn.XLOOKUP(Table13[[#This Row],[Likelyhood]],Table4[[#All],[Name]],Table4[[#All],[Value]],0) * _xlfn.XLOOKUP(Table13[[#This Row],[Impact]],Table10[[#All],[Name]],Table10[[#All],[Value]],0))</f>
        <v>0</v>
      </c>
    </row>
    <row r="23" spans="6:6">
      <c r="F23" cm="1">
        <f t="array" ref="F23">(_xlfn.XLOOKUP(Table13[[#This Row],[Likelyhood]],Table4[[#All],[Name]],Table4[[#All],[Value]],0) * _xlfn.XLOOKUP(Table13[[#This Row],[Impact]],Table10[[#All],[Name]],Table10[[#All],[Value]],0))</f>
        <v>0</v>
      </c>
    </row>
    <row r="24" spans="6:6">
      <c r="F24" cm="1">
        <f t="array" ref="F24">(_xlfn.XLOOKUP(Table13[[#This Row],[Likelyhood]],Table4[[#All],[Name]],Table4[[#All],[Value]],0) * _xlfn.XLOOKUP(Table13[[#This Row],[Impact]],Table10[[#All],[Name]],Table10[[#All],[Value]],0))</f>
        <v>0</v>
      </c>
    </row>
    <row r="25" spans="6:6">
      <c r="F25" cm="1">
        <f t="array" ref="F25">(_xlfn.XLOOKUP(Table13[[#This Row],[Likelyhood]],Table4[[#All],[Name]],Table4[[#All],[Value]],0) * _xlfn.XLOOKUP(Table13[[#This Row],[Impact]],Table10[[#All],[Name]],Table10[[#All],[Value]],0))</f>
        <v>0</v>
      </c>
    </row>
    <row r="26" spans="6:6">
      <c r="F26" cm="1">
        <f t="array" ref="F26">(_xlfn.XLOOKUP(Table13[[#This Row],[Likelyhood]],Table4[[#All],[Name]],Table4[[#All],[Value]],0) * _xlfn.XLOOKUP(Table13[[#This Row],[Impact]],Table10[[#All],[Name]],Table10[[#All],[Value]],0))</f>
        <v>0</v>
      </c>
    </row>
    <row r="27" spans="6:6">
      <c r="F27" cm="1">
        <f t="array" ref="F27">(_xlfn.XLOOKUP(Table13[[#This Row],[Likelyhood]],Table4[[#All],[Name]],Table4[[#All],[Value]],0) * _xlfn.XLOOKUP(Table13[[#This Row],[Impact]],Table10[[#All],[Name]],Table10[[#All],[Value]],0))</f>
        <v>0</v>
      </c>
    </row>
    <row r="28" spans="6:6">
      <c r="F28" cm="1">
        <f t="array" ref="F28">(_xlfn.XLOOKUP(Table13[[#This Row],[Likelyhood]],Table4[[#All],[Name]],Table4[[#All],[Value]],0) * _xlfn.XLOOKUP(Table13[[#This Row],[Impact]],Table10[[#All],[Name]],Table10[[#All],[Value]],0))</f>
        <v>0</v>
      </c>
    </row>
    <row r="29" spans="6:6">
      <c r="F29" cm="1">
        <f t="array" ref="F29">(_xlfn.XLOOKUP(Table13[[#This Row],[Likelyhood]],Table4[[#All],[Name]],Table4[[#All],[Value]],0) * _xlfn.XLOOKUP(Table13[[#This Row],[Impact]],Table10[[#All],[Name]],Table10[[#All],[Value]],0))</f>
        <v>0</v>
      </c>
    </row>
  </sheetData>
  <conditionalFormatting sqref="F7:F50">
    <cfRule type="expression" dxfId="7" priority="1" stopIfTrue="1">
      <formula>F7&gt;$C$3</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6696A85C-FB31-B44C-9890-7C028D307BC5}">
          <x14:formula1>
            <xm:f>Tables!$D$10:$D$14</xm:f>
          </x14:formula1>
          <xm:sqref>D7:D29</xm:sqref>
        </x14:dataValidation>
        <x14:dataValidation type="list" allowBlank="1" showInputMessage="1" showErrorMessage="1" xr:uid="{02E11483-D0E0-9D4B-A64F-C6E2F4F9721B}">
          <x14:formula1>
            <xm:f>Tables!$D$19:$D$23</xm:f>
          </x14:formula1>
          <xm:sqref>E7:E29</xm:sqref>
        </x14:dataValidation>
        <x14:dataValidation type="list" allowBlank="1" showInputMessage="1" showErrorMessage="1" xr:uid="{6301A7AF-8933-D24C-9F72-3569BA1449F9}">
          <x14:formula1>
            <xm:f>Tables!$D$27:$D$31</xm:f>
          </x14:formula1>
          <xm:sqref>G7:G29</xm:sqref>
        </x14:dataValidation>
        <x14:dataValidation type="list" allowBlank="1" showInputMessage="1" showErrorMessage="1" xr:uid="{FCDE82E5-2DBF-7848-A719-39F531763063}">
          <x14:formula1>
            <xm:f>Tables!$D$3:$D$6</xm:f>
          </x14:formula1>
          <xm:sqref>B3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A0CC3-349F-174C-A8E8-410579126C41}">
  <dimension ref="A1:B2"/>
  <sheetViews>
    <sheetView workbookViewId="0">
      <selection activeCell="B3" sqref="B3"/>
    </sheetView>
  </sheetViews>
  <sheetFormatPr defaultColWidth="11" defaultRowHeight="15.95"/>
  <cols>
    <col min="1" max="1" width="76" customWidth="1"/>
    <col min="2" max="2" width="42" customWidth="1"/>
  </cols>
  <sheetData>
    <row r="1" spans="1:2" ht="107.1" customHeight="1">
      <c r="A1" s="6" t="s">
        <v>14</v>
      </c>
      <c r="B1" s="6"/>
    </row>
    <row r="2" spans="1:2">
      <c r="A2" t="s">
        <v>15</v>
      </c>
      <c r="B2" t="s">
        <v>16</v>
      </c>
    </row>
  </sheetData>
  <mergeCells count="1">
    <mergeCell ref="A1:B1"/>
  </mergeCells>
  <dataValidations count="1">
    <dataValidation type="list" allowBlank="1" showInputMessage="1" showErrorMessage="1" sqref="B3:B31" xr:uid="{38815EB2-0981-5B47-8B47-EF33E6F5B61F}">
      <formula1>"Priceless, High, Medium, Low, Worthless"</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0D01E-50E9-D443-9106-D97D7B16B12C}">
  <dimension ref="A2:F31"/>
  <sheetViews>
    <sheetView topLeftCell="A6" workbookViewId="0">
      <selection activeCell="B4" sqref="B4"/>
    </sheetView>
  </sheetViews>
  <sheetFormatPr defaultColWidth="11" defaultRowHeight="15.95"/>
  <cols>
    <col min="1" max="1" width="22" customWidth="1"/>
    <col min="2" max="2" width="33.375" customWidth="1"/>
    <col min="4" max="4" width="17.625" customWidth="1"/>
    <col min="5" max="5" width="25.125" customWidth="1"/>
    <col min="6" max="6" width="73" customWidth="1"/>
  </cols>
  <sheetData>
    <row r="2" spans="1:6" s="2" customFormat="1" ht="17.100000000000001">
      <c r="D2" s="2" t="s">
        <v>17</v>
      </c>
      <c r="E2" s="2" t="s">
        <v>18</v>
      </c>
      <c r="F2" s="2" t="s">
        <v>19</v>
      </c>
    </row>
    <row r="3" spans="1:6" ht="17.100000000000001">
      <c r="A3" t="s">
        <v>20</v>
      </c>
      <c r="D3" s="2" t="s">
        <v>2</v>
      </c>
      <c r="E3" s="2">
        <v>10</v>
      </c>
      <c r="F3" s="2" t="s">
        <v>21</v>
      </c>
    </row>
    <row r="4" spans="1:6" ht="17.100000000000001">
      <c r="D4" s="2" t="s">
        <v>22</v>
      </c>
      <c r="E4" s="2">
        <v>15</v>
      </c>
      <c r="F4" s="2" t="s">
        <v>23</v>
      </c>
    </row>
    <row r="5" spans="1:6" ht="33.950000000000003">
      <c r="D5" s="2" t="s">
        <v>24</v>
      </c>
      <c r="E5" s="2">
        <v>20</v>
      </c>
      <c r="F5" s="2" t="s">
        <v>25</v>
      </c>
    </row>
    <row r="6" spans="1:6" ht="33.950000000000003">
      <c r="D6" s="2" t="s">
        <v>26</v>
      </c>
      <c r="E6" s="2">
        <v>25</v>
      </c>
      <c r="F6" s="2" t="s">
        <v>27</v>
      </c>
    </row>
    <row r="8" spans="1:6">
      <c r="D8" s="7" t="s">
        <v>28</v>
      </c>
      <c r="E8" s="7"/>
    </row>
    <row r="9" spans="1:6">
      <c r="D9" t="s">
        <v>17</v>
      </c>
      <c r="E9" t="s">
        <v>16</v>
      </c>
    </row>
    <row r="10" spans="1:6">
      <c r="D10" t="s">
        <v>29</v>
      </c>
      <c r="E10">
        <v>1</v>
      </c>
    </row>
    <row r="11" spans="1:6">
      <c r="D11" t="s">
        <v>30</v>
      </c>
      <c r="E11">
        <v>2</v>
      </c>
    </row>
    <row r="12" spans="1:6">
      <c r="D12" t="s">
        <v>31</v>
      </c>
      <c r="E12">
        <v>3</v>
      </c>
    </row>
    <row r="13" spans="1:6">
      <c r="D13" t="s">
        <v>32</v>
      </c>
      <c r="E13">
        <v>4</v>
      </c>
    </row>
    <row r="14" spans="1:6">
      <c r="D14" t="s">
        <v>12</v>
      </c>
      <c r="E14">
        <v>5</v>
      </c>
    </row>
    <row r="17" spans="4:5">
      <c r="D17" s="8" t="s">
        <v>33</v>
      </c>
      <c r="E17" s="8"/>
    </row>
    <row r="18" spans="4:5">
      <c r="D18" s="1" t="s">
        <v>17</v>
      </c>
      <c r="E18" s="1" t="s">
        <v>16</v>
      </c>
    </row>
    <row r="19" spans="4:5">
      <c r="D19" t="s">
        <v>34</v>
      </c>
      <c r="E19">
        <v>1</v>
      </c>
    </row>
    <row r="20" spans="4:5">
      <c r="D20" t="s">
        <v>31</v>
      </c>
      <c r="E20">
        <v>2</v>
      </c>
    </row>
    <row r="21" spans="4:5">
      <c r="D21" t="s">
        <v>13</v>
      </c>
      <c r="E21">
        <v>3</v>
      </c>
    </row>
    <row r="22" spans="4:5">
      <c r="D22" t="s">
        <v>35</v>
      </c>
      <c r="E22">
        <v>4</v>
      </c>
    </row>
    <row r="23" spans="4:5">
      <c r="D23" t="s">
        <v>36</v>
      </c>
      <c r="E23">
        <v>5</v>
      </c>
    </row>
    <row r="26" spans="4:5">
      <c r="D26" t="s">
        <v>37</v>
      </c>
    </row>
    <row r="27" spans="4:5">
      <c r="D27" t="s">
        <v>38</v>
      </c>
    </row>
    <row r="28" spans="4:5">
      <c r="D28" t="s">
        <v>39</v>
      </c>
    </row>
    <row r="29" spans="4:5">
      <c r="D29" t="s">
        <v>40</v>
      </c>
    </row>
    <row r="30" spans="4:5">
      <c r="D30" t="s">
        <v>41</v>
      </c>
    </row>
    <row r="31" spans="4:5">
      <c r="D31" t="s">
        <v>42</v>
      </c>
    </row>
  </sheetData>
  <mergeCells count="2">
    <mergeCell ref="D8:E8"/>
    <mergeCell ref="D17:E17"/>
  </mergeCells>
  <dataValidations count="1">
    <dataValidation type="list" allowBlank="1" showInputMessage="1" showErrorMessage="1" sqref="B3" xr:uid="{3E04D801-C3C9-1A49-96B8-29195BA5220B}">
      <formula1>$D$3:$D$6</formula1>
    </dataValidation>
  </dataValidations>
  <pageMargins left="0.7" right="0.7" top="0.75" bottom="0.75" header="0.3" footer="0.3"/>
  <tableParts count="4">
    <tablePart r:id="rId1"/>
    <tablePart r:id="rId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Phil Romig</dc:creator>
  <cp:keywords/>
  <dc:description/>
  <cp:lastModifiedBy>Kathleen Kelly</cp:lastModifiedBy>
  <cp:revision/>
  <dcterms:created xsi:type="dcterms:W3CDTF">2026-05-24T19:45:30Z</dcterms:created>
  <dcterms:modified xsi:type="dcterms:W3CDTF">2026-05-25T17:25:04Z</dcterms:modified>
  <cp:category/>
  <cp:contentStatus/>
</cp:coreProperties>
</file>